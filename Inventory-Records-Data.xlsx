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EME Academy data analysis document\Power BI EME\"/>
    </mc:Choice>
  </mc:AlternateContent>
  <xr:revisionPtr revIDLastSave="0" documentId="13_ncr:1_{27A571AC-5B62-430A-96DB-76FBAD066B35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Inventory Records Data" sheetId="2" r:id="rId1"/>
  </sheets>
  <definedNames>
    <definedName name="_xlnm._FilterDatabase" localSheetId="0" hidden="1">'Inventory Records Data'!$D$1:$D$47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" i="2" l="1" a="1"/>
  <c r="Q5" i="2" s="1"/>
  <c r="Q6" i="2" a="1"/>
  <c r="Q6" i="2" s="1"/>
  <c r="Q7" i="2" a="1"/>
  <c r="Q7" i="2" s="1"/>
  <c r="Q8" i="2" a="1"/>
  <c r="Q8" i="2"/>
  <c r="Q9" i="2" a="1"/>
  <c r="Q9" i="2" s="1"/>
  <c r="Q10" i="2" a="1"/>
  <c r="Q10" i="2" s="1"/>
  <c r="Q11" i="2" a="1"/>
  <c r="Q11" i="2" s="1"/>
  <c r="Q4" i="2" a="1"/>
  <c r="Q4" i="2" s="1"/>
  <c r="N3" i="2"/>
  <c r="L3" i="2"/>
  <c r="M19" i="2"/>
  <c r="P7" i="2"/>
  <c r="P8" i="2"/>
  <c r="P9" i="2"/>
  <c r="P6" i="2"/>
  <c r="N7" i="2"/>
  <c r="N6" i="2"/>
  <c r="N8" i="2"/>
  <c r="N9" i="2"/>
  <c r="K17" i="2"/>
  <c r="J4" i="2"/>
  <c r="L12" i="2"/>
  <c r="M11" i="2"/>
  <c r="O15" i="2"/>
  <c r="O10" i="2"/>
  <c r="M8" i="2"/>
  <c r="L6" i="2"/>
  <c r="K13" i="2"/>
  <c r="J7" i="2"/>
  <c r="J8" i="2"/>
</calcChain>
</file>

<file path=xl/sharedStrings.xml><?xml version="1.0" encoding="utf-8"?>
<sst xmlns="http://schemas.openxmlformats.org/spreadsheetml/2006/main" count="102" uniqueCount="102">
  <si>
    <t>Product ID</t>
  </si>
  <si>
    <t>Product Name</t>
  </si>
  <si>
    <t>Opening 
Stock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</si>
  <si>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</si>
  <si>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</si>
  <si>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</si>
  <si>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</si>
  <si>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</si>
  <si>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</si>
  <si>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</si>
  <si>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</si>
  <si>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</si>
  <si>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</si>
  <si>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</si>
  <si>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</si>
  <si>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</si>
  <si>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</si>
  <si>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</si>
  <si>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</si>
  <si>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</si>
  <si>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</si>
  <si>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</si>
  <si>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</si>
  <si>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</si>
  <si>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</si>
  <si>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</si>
  <si>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</si>
  <si>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</si>
  <si>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</si>
  <si>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</si>
  <si>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</si>
  <si>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</si>
  <si>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</si>
  <si>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</si>
  <si>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</si>
  <si>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</si>
  <si>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</si>
  <si>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</si>
  <si>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</si>
  <si>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</si>
  <si>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</si>
  <si>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</si>
  <si>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</si>
  <si>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</si>
  <si>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</si>
  <si>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</si>
  <si>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</si>
  <si>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</si>
  <si>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</si>
  <si>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</si>
  <si>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</si>
  <si>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</si>
  <si>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</si>
  <si>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</si>
  <si>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</si>
  <si>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</si>
  <si>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</si>
  <si>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</si>
  <si>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</si>
  <si>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</si>
  <si>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</si>
  <si>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</si>
  <si>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</si>
  <si>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</si>
  <si>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</si>
  <si>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</si>
  <si>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</si>
  <si>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</si>
  <si>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</si>
  <si>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</si>
  <si>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</si>
  <si>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</si>
  <si>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</si>
  <si>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</si>
  <si>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</si>
  <si>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</si>
  <si>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</si>
  <si>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</si>
  <si>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</si>
  <si>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</si>
  <si>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</si>
  <si>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</si>
  <si>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</si>
  <si>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</si>
  <si>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</si>
  <si>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</si>
  <si>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</si>
  <si>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</si>
  <si>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</si>
  <si>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</si>
  <si>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</si>
  <si>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</si>
  <si>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</si>
  <si>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</si>
  <si>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</si>
  <si>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</si>
  <si>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</si>
  <si>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</si>
  <si>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 xml:space="preserve">                                                </t>
  </si>
  <si>
    <t xml:space="preserve">                                    </t>
  </si>
  <si>
    <t xml:space="preserve">                                                                       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</si>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</sst>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A1:Q47"/>
  <sheetViews>
    <sheetView showGridLines="0" tabSelected="1" workbookViewId="0">
      <selection activeCell="L8" sqref="L8"/>
    </sheetView>
  </sheetViews>
  <sheetFormatPr defaultRowHeight="14.4" x14ac:dyDescent="0.3"/>
  <cols>
    <col min="1" max="1" width="12.5546875" style="1" customWidth="1"/>
    <col min="2" max="2" width="20.88671875" style="1" customWidth="1"/>
    <col min="3" max="3" width="10.88671875" style="1" customWidth="1"/>
    <col min="4" max="4" width="12" style="1" customWidth="1"/>
    <col min="5" max="5" width="12.6640625" style="1" customWidth="1"/>
    <col min="6" max="6" width="10.5546875" style="1" customWidth="1"/>
    <col min="7" max="7" width="15.109375" style="1" customWidth="1"/>
    <col min="8" max="8" width="13.6640625" style="1" customWidth="1"/>
    <col min="9" max="16384" width="8.88671875" style="1"/>
  </cols>
  <sheetData>
    <row r="1" spans="1:17" ht="31.2" x14ac:dyDescent="0.3">
      <c r="A1" s="2" t="s">
        <v>0</v>
      </c>
      <c r="B1" s="3" t="s">
        <v>1</v>
      </c>
      <c r="C1" s="3" t="s">
        <v>2</v>
      </c>
      <c r="D1" s="3" t="s">
        <v>98</v>
      </c>
      <c r="E1" s="3" t="s">
        <v>99</v>
      </c>
      <c r="F1" s="3" t="s">
        <v>3</v>
      </c>
      <c r="G1" s="3" t="s">
        <v>4</v>
      </c>
      <c r="H1" s="3" t="s">
        <v>5</v>
      </c>
    </row>
    <row r="2" spans="1:17" x14ac:dyDescent="0.3">
      <c r="A2" s="4" t="s">
        <v>6</v>
      </c>
      <c r="B2" s="4" t="s">
        <v>7</v>
      </c>
      <c r="C2" s="4">
        <v>50</v>
      </c>
      <c r="D2" s="4">
        <v>20</v>
      </c>
      <c r="E2" s="4">
        <v>10</v>
      </c>
      <c r="F2" s="4">
        <v>60</v>
      </c>
      <c r="G2" s="4">
        <v>1200</v>
      </c>
      <c r="H2" s="4">
        <v>72000</v>
      </c>
    </row>
    <row r="3" spans="1:17" x14ac:dyDescent="0.3">
      <c r="A3" s="4" t="s">
        <v>8</v>
      </c>
      <c r="B3" s="4" t="s">
        <v>9</v>
      </c>
      <c r="C3" s="4">
        <v>40</v>
      </c>
      <c r="D3" s="4">
        <v>15</v>
      </c>
      <c r="E3" s="4">
        <v>5</v>
      </c>
      <c r="F3" s="4">
        <v>50</v>
      </c>
      <c r="G3" s="4">
        <v>500</v>
      </c>
      <c r="H3" s="4">
        <v>25000</v>
      </c>
      <c r="L3" s="1">
        <f>COUNT(D:D)</f>
        <v>46</v>
      </c>
      <c r="N3" s="1">
        <f>COUNTIF(B:B,B2)</f>
        <v>1</v>
      </c>
    </row>
    <row r="4" spans="1:17" x14ac:dyDescent="0.3">
      <c r="A4" s="4" t="s">
        <v>10</v>
      </c>
      <c r="B4" s="4" t="s">
        <v>11</v>
      </c>
      <c r="C4" s="4">
        <v>60</v>
      </c>
      <c r="D4" s="4">
        <v>25</v>
      </c>
      <c r="E4" s="4">
        <v>15</v>
      </c>
      <c r="F4" s="4">
        <v>70</v>
      </c>
      <c r="G4" s="4">
        <v>50</v>
      </c>
      <c r="H4" s="4">
        <v>3500</v>
      </c>
      <c r="J4" s="1" t="e">
        <f>CHOOSE(B:B,C:C,D:D)</f>
        <v>#VALUE!</v>
      </c>
      <c r="K4" s="1" t="s">
        <v>100</v>
      </c>
      <c r="Q4" s="1">
        <f t="array" ref="Q4">G2:G47*F2:F47</f>
        <v>72000</v>
      </c>
    </row>
    <row r="5" spans="1:17" x14ac:dyDescent="0.3">
      <c r="A5" s="4" t="s">
        <v>12</v>
      </c>
      <c r="B5" s="4" t="s">
        <v>13</v>
      </c>
      <c r="C5" s="4">
        <v>30</v>
      </c>
      <c r="D5" s="4">
        <v>10</v>
      </c>
      <c r="E5" s="4">
        <v>3</v>
      </c>
      <c r="F5" s="4">
        <v>37</v>
      </c>
      <c r="G5" s="4">
        <v>100</v>
      </c>
      <c r="H5" s="4">
        <v>3700</v>
      </c>
      <c r="Q5" s="1">
        <f t="array" ref="Q5">G3:G48*F3:F48</f>
        <v>25000</v>
      </c>
    </row>
    <row r="6" spans="1:17" x14ac:dyDescent="0.3">
      <c r="A6" s="4" t="s">
        <v>14</v>
      </c>
      <c r="B6" s="4" t="s">
        <v>15</v>
      </c>
      <c r="C6" s="4">
        <v>70</v>
      </c>
      <c r="D6" s="4">
        <v>30</v>
      </c>
      <c r="E6" s="4">
        <v>20</v>
      </c>
      <c r="F6" s="4">
        <v>80</v>
      </c>
      <c r="G6" s="4">
        <v>900</v>
      </c>
      <c r="H6" s="4">
        <v>72000</v>
      </c>
      <c r="L6" s="1" t="str">
        <f>HLOOKUP(B3,A2:H47,10,1)</f>
        <v>Webcam</v>
      </c>
      <c r="N6" s="1" t="str">
        <f>IF(C2&gt;30,"yes","no")</f>
        <v>yes</v>
      </c>
      <c r="P6" s="1" t="str">
        <f>IF(AND(C2&gt;45,D2&gt;15),"y","f")</f>
        <v>y</v>
      </c>
      <c r="Q6" s="1">
        <f t="array" ref="Q6">G4:G49*F4:F49</f>
        <v>3500</v>
      </c>
    </row>
    <row r="7" spans="1:17" x14ac:dyDescent="0.3">
      <c r="A7" s="4" t="s">
        <v>16</v>
      </c>
      <c r="B7" s="4" t="s">
        <v>17</v>
      </c>
      <c r="C7" s="4">
        <v>45</v>
      </c>
      <c r="D7" s="4">
        <v>18</v>
      </c>
      <c r="E7" s="4">
        <v>8</v>
      </c>
      <c r="F7" s="4">
        <v>55</v>
      </c>
      <c r="G7" s="4">
        <v>700</v>
      </c>
      <c r="H7" s="4">
        <v>38500</v>
      </c>
      <c r="J7" s="1" t="str">
        <f>INDEX(A:A,10)</f>
        <v>P109</v>
      </c>
      <c r="N7" s="1" t="str">
        <f>IF(C3&gt;30,"yes","no")</f>
        <v>yes</v>
      </c>
      <c r="P7" s="1" t="str">
        <f>IF(AND(C3&gt;45,D3&gt;15),"y","f")</f>
        <v>f</v>
      </c>
      <c r="Q7" s="1">
        <f t="array" ref="Q7">G5:G50*F5:F50</f>
        <v>3700</v>
      </c>
    </row>
    <row r="8" spans="1:17" x14ac:dyDescent="0.3">
      <c r="A8" s="4" t="s">
        <v>18</v>
      </c>
      <c r="B8" s="4" t="s">
        <v>19</v>
      </c>
      <c r="C8" s="4">
        <v>55</v>
      </c>
      <c r="D8" s="4">
        <v>22</v>
      </c>
      <c r="E8" s="4">
        <v>12</v>
      </c>
      <c r="F8" s="4">
        <v>65</v>
      </c>
      <c r="G8" s="4">
        <v>150</v>
      </c>
      <c r="H8" s="4">
        <v>9750</v>
      </c>
      <c r="J8" s="1">
        <f>MATCH(A10,A:A,0)</f>
        <v>10</v>
      </c>
      <c r="L8" s="1" t="s">
        <v>101</v>
      </c>
      <c r="M8" s="1" t="str">
        <f>INDEX(A:A,9)</f>
        <v>P108</v>
      </c>
      <c r="N8" s="1" t="str">
        <f>IF(C4&gt;30,"yes","no")</f>
        <v>yes</v>
      </c>
      <c r="P8" s="1" t="str">
        <f t="shared" ref="P7:P9" si="0">IF(AND(C4&gt;45,D4&gt;15),"y","f")</f>
        <v>y</v>
      </c>
      <c r="Q8" s="1">
        <f t="array" ref="Q8">G6:G51*F6:F51</f>
        <v>72000</v>
      </c>
    </row>
    <row r="9" spans="1:17" x14ac:dyDescent="0.3">
      <c r="A9" s="4" t="s">
        <v>20</v>
      </c>
      <c r="B9" s="4" t="s">
        <v>21</v>
      </c>
      <c r="C9" s="4">
        <v>25</v>
      </c>
      <c r="D9" s="4">
        <v>12</v>
      </c>
      <c r="E9" s="4">
        <v>5</v>
      </c>
      <c r="F9" s="4">
        <v>32</v>
      </c>
      <c r="G9" s="4">
        <v>200</v>
      </c>
      <c r="H9" s="4">
        <v>6400</v>
      </c>
      <c r="N9" s="1" t="str">
        <f t="shared" ref="N7:N9" si="1">IF(C5&gt;30,"yes","no")</f>
        <v>no</v>
      </c>
      <c r="P9" s="1" t="str">
        <f t="shared" si="0"/>
        <v>f</v>
      </c>
      <c r="Q9" s="1">
        <f t="array" ref="Q9">G7:G52*F7:F52</f>
        <v>38500</v>
      </c>
    </row>
    <row r="10" spans="1:17" x14ac:dyDescent="0.3">
      <c r="A10" s="4" t="s">
        <v>22</v>
      </c>
      <c r="B10" s="4" t="s">
        <v>23</v>
      </c>
      <c r="C10" s="4">
        <v>35</v>
      </c>
      <c r="D10" s="4">
        <v>15</v>
      </c>
      <c r="E10" s="4">
        <v>7</v>
      </c>
      <c r="F10" s="4">
        <v>43</v>
      </c>
      <c r="G10" s="4">
        <v>80</v>
      </c>
      <c r="H10" s="4">
        <v>3440</v>
      </c>
      <c r="O10" s="1">
        <f>MATCH(B4,B:B,0)</f>
        <v>4</v>
      </c>
      <c r="Q10" s="1">
        <f t="array" ref="Q10">G8:G53*F8:F53</f>
        <v>9750</v>
      </c>
    </row>
    <row r="11" spans="1:17" x14ac:dyDescent="0.3">
      <c r="A11" s="4" t="s">
        <v>24</v>
      </c>
      <c r="B11" s="4" t="s">
        <v>25</v>
      </c>
      <c r="C11" s="4">
        <v>40</v>
      </c>
      <c r="D11" s="4">
        <v>20</v>
      </c>
      <c r="E11" s="4">
        <v>10</v>
      </c>
      <c r="F11" s="4">
        <v>50</v>
      </c>
      <c r="G11" s="4">
        <v>60</v>
      </c>
      <c r="H11" s="4">
        <v>3000</v>
      </c>
      <c r="M11" s="1">
        <f>MATCH(E9,E:E,0)</f>
        <v>3</v>
      </c>
      <c r="Q11" s="1">
        <f t="array" ref="Q11">G9:G54*F9:F54</f>
        <v>6400</v>
      </c>
    </row>
    <row r="12" spans="1:17" x14ac:dyDescent="0.3">
      <c r="A12" s="4" t="s">
        <v>26</v>
      </c>
      <c r="B12" s="4" t="s">
        <v>27</v>
      </c>
      <c r="C12" s="4">
        <v>20</v>
      </c>
      <c r="D12" s="4">
        <v>8</v>
      </c>
      <c r="E12" s="4">
        <v>3</v>
      </c>
      <c r="F12" s="4">
        <v>25</v>
      </c>
      <c r="G12" s="4">
        <v>150</v>
      </c>
      <c r="H12" s="4">
        <v>3750</v>
      </c>
      <c r="L12" s="1">
        <f>MATCH(B5,B:B,0)</f>
        <v>5</v>
      </c>
    </row>
    <row r="13" spans="1:17" x14ac:dyDescent="0.3">
      <c r="A13" s="4" t="s">
        <v>28</v>
      </c>
      <c r="B13" s="4" t="s">
        <v>29</v>
      </c>
      <c r="C13" s="4">
        <v>30</v>
      </c>
      <c r="D13" s="4">
        <v>15</v>
      </c>
      <c r="E13" s="4">
        <v>7</v>
      </c>
      <c r="F13" s="4">
        <v>38</v>
      </c>
      <c r="G13" s="4">
        <v>30</v>
      </c>
      <c r="H13" s="4">
        <v>1140</v>
      </c>
      <c r="K13" s="1" t="str">
        <f>VLOOKUP(A9,A2:H47,2,1)</f>
        <v>External Hard Drive</v>
      </c>
    </row>
    <row r="14" spans="1:17" x14ac:dyDescent="0.3">
      <c r="A14" s="4" t="s">
        <v>30</v>
      </c>
      <c r="B14" s="4" t="s">
        <v>31</v>
      </c>
      <c r="C14" s="4">
        <v>50</v>
      </c>
      <c r="D14" s="4">
        <v>25</v>
      </c>
      <c r="E14" s="4">
        <v>12</v>
      </c>
      <c r="F14" s="4">
        <v>63</v>
      </c>
      <c r="G14" s="4">
        <v>20</v>
      </c>
      <c r="H14" s="4">
        <v>1260</v>
      </c>
    </row>
    <row r="15" spans="1:17" x14ac:dyDescent="0.3">
      <c r="A15" s="4" t="s">
        <v>32</v>
      </c>
      <c r="B15" s="4" t="s">
        <v>33</v>
      </c>
      <c r="C15" s="4">
        <v>60</v>
      </c>
      <c r="D15" s="4">
        <v>30</v>
      </c>
      <c r="E15" s="4">
        <v>15</v>
      </c>
      <c r="F15" s="4">
        <v>75</v>
      </c>
      <c r="G15" s="4">
        <v>10</v>
      </c>
      <c r="H15" s="4">
        <v>750</v>
      </c>
      <c r="O15" s="1" t="str">
        <f>INDEX(B:B,MATCH(B5,B:B,0))</f>
        <v>Headphones</v>
      </c>
    </row>
    <row r="16" spans="1:17" x14ac:dyDescent="0.3">
      <c r="A16" s="4" t="s">
        <v>34</v>
      </c>
      <c r="B16" s="4" t="s">
        <v>35</v>
      </c>
      <c r="C16" s="4">
        <v>40</v>
      </c>
      <c r="D16" s="4">
        <v>20</v>
      </c>
      <c r="E16" s="4">
        <v>8</v>
      </c>
      <c r="F16" s="4">
        <v>52</v>
      </c>
      <c r="G16" s="4">
        <v>25</v>
      </c>
      <c r="H16" s="4">
        <v>1300</v>
      </c>
    </row>
    <row r="17" spans="1:13" x14ac:dyDescent="0.3">
      <c r="A17" s="4" t="s">
        <v>36</v>
      </c>
      <c r="B17" s="4" t="s">
        <v>37</v>
      </c>
      <c r="C17" s="4">
        <v>35</v>
      </c>
      <c r="D17" s="4">
        <v>15</v>
      </c>
      <c r="E17" s="4">
        <v>5</v>
      </c>
      <c r="F17" s="4">
        <v>45</v>
      </c>
      <c r="G17" s="4">
        <v>40</v>
      </c>
      <c r="H17" s="4">
        <v>1800</v>
      </c>
      <c r="K17" s="1" t="e">
        <f>CHOOSE(A7,B:B,C:C,D:D)</f>
        <v>#VALUE!</v>
      </c>
    </row>
    <row r="18" spans="1:13" x14ac:dyDescent="0.3">
      <c r="A18" s="4" t="s">
        <v>38</v>
      </c>
      <c r="B18" s="4" t="s">
        <v>39</v>
      </c>
      <c r="C18" s="4">
        <v>25</v>
      </c>
      <c r="D18" s="4">
        <v>10</v>
      </c>
      <c r="E18" s="4">
        <v>4</v>
      </c>
      <c r="F18" s="4">
        <v>31</v>
      </c>
      <c r="G18" s="4">
        <v>100</v>
      </c>
      <c r="H18" s="4">
        <v>3100</v>
      </c>
    </row>
    <row r="19" spans="1:13" x14ac:dyDescent="0.3">
      <c r="A19" s="4" t="s">
        <v>40</v>
      </c>
      <c r="B19" s="4" t="s">
        <v>41</v>
      </c>
      <c r="C19" s="4">
        <v>30</v>
      </c>
      <c r="D19" s="4">
        <v>12</v>
      </c>
      <c r="E19" s="4">
        <v>6</v>
      </c>
      <c r="F19" s="4">
        <v>36</v>
      </c>
      <c r="G19" s="4">
        <v>80</v>
      </c>
      <c r="H19" s="4">
        <v>2880</v>
      </c>
      <c r="M19" s="1">
        <f>SUMIF(B:B,B7,D:D)</f>
        <v>18</v>
      </c>
    </row>
    <row r="20" spans="1:13" x14ac:dyDescent="0.3">
      <c r="A20" s="4" t="s">
        <v>42</v>
      </c>
      <c r="B20" s="4" t="s">
        <v>43</v>
      </c>
      <c r="C20" s="4">
        <v>20</v>
      </c>
      <c r="D20" s="4">
        <v>8</v>
      </c>
      <c r="E20" s="4">
        <v>3</v>
      </c>
      <c r="F20" s="4">
        <v>25</v>
      </c>
      <c r="G20" s="4">
        <v>120</v>
      </c>
      <c r="H20" s="4">
        <v>3000</v>
      </c>
    </row>
    <row r="21" spans="1:13" x14ac:dyDescent="0.3">
      <c r="A21" s="4" t="s">
        <v>44</v>
      </c>
      <c r="B21" s="4" t="s">
        <v>45</v>
      </c>
      <c r="C21" s="4">
        <v>15</v>
      </c>
      <c r="D21" s="4">
        <v>6</v>
      </c>
      <c r="E21" s="4">
        <v>2</v>
      </c>
      <c r="F21" s="4">
        <v>19</v>
      </c>
      <c r="G21" s="4">
        <v>200</v>
      </c>
      <c r="H21" s="4">
        <v>3800</v>
      </c>
    </row>
    <row r="22" spans="1:13" x14ac:dyDescent="0.3">
      <c r="A22" s="4" t="s">
        <v>46</v>
      </c>
      <c r="B22" s="4" t="s">
        <v>47</v>
      </c>
      <c r="C22" s="4">
        <v>25</v>
      </c>
      <c r="D22" s="4">
        <v>10</v>
      </c>
      <c r="E22" s="4">
        <v>4</v>
      </c>
      <c r="F22" s="4">
        <v>29</v>
      </c>
      <c r="G22" s="4">
        <v>400</v>
      </c>
      <c r="H22" s="4">
        <v>11600</v>
      </c>
    </row>
    <row r="23" spans="1:13" x14ac:dyDescent="0.3">
      <c r="A23" s="4" t="s">
        <v>48</v>
      </c>
      <c r="B23" s="4" t="s">
        <v>49</v>
      </c>
      <c r="C23" s="4">
        <v>40</v>
      </c>
      <c r="D23" s="4">
        <v>18</v>
      </c>
      <c r="E23" s="4">
        <v>9</v>
      </c>
      <c r="F23" s="4">
        <v>49</v>
      </c>
      <c r="G23" s="4">
        <v>600</v>
      </c>
      <c r="H23" s="4">
        <v>29400</v>
      </c>
    </row>
    <row r="24" spans="1:13" x14ac:dyDescent="0.3">
      <c r="A24" s="4" t="s">
        <v>50</v>
      </c>
      <c r="B24" s="4" t="s">
        <v>51</v>
      </c>
      <c r="C24" s="4">
        <v>30</v>
      </c>
      <c r="D24" s="4">
        <v>15</v>
      </c>
      <c r="E24" s="4">
        <v>7</v>
      </c>
      <c r="F24" s="4">
        <v>38</v>
      </c>
      <c r="G24" s="4">
        <v>350</v>
      </c>
      <c r="H24" s="4">
        <v>13300</v>
      </c>
    </row>
    <row r="25" spans="1:13" x14ac:dyDescent="0.3">
      <c r="A25" s="4" t="s">
        <v>52</v>
      </c>
      <c r="B25" s="4" t="s">
        <v>53</v>
      </c>
      <c r="C25" s="4">
        <v>25</v>
      </c>
      <c r="D25" s="4">
        <v>12</v>
      </c>
      <c r="E25" s="4">
        <v>5</v>
      </c>
      <c r="F25" s="4">
        <v>32</v>
      </c>
      <c r="G25" s="4">
        <v>200</v>
      </c>
      <c r="H25" s="4">
        <v>6400</v>
      </c>
    </row>
    <row r="26" spans="1:13" x14ac:dyDescent="0.3">
      <c r="A26" s="4" t="s">
        <v>54</v>
      </c>
      <c r="B26" s="4" t="s">
        <v>55</v>
      </c>
      <c r="C26" s="4">
        <v>50</v>
      </c>
      <c r="D26" s="4">
        <v>22</v>
      </c>
      <c r="E26" s="4">
        <v>11</v>
      </c>
      <c r="F26" s="4">
        <v>61</v>
      </c>
      <c r="G26" s="4">
        <v>80</v>
      </c>
      <c r="H26" s="4">
        <v>4880</v>
      </c>
    </row>
    <row r="27" spans="1:13" x14ac:dyDescent="0.3">
      <c r="A27" s="4" t="s">
        <v>56</v>
      </c>
      <c r="B27" s="4" t="s">
        <v>57</v>
      </c>
      <c r="C27" s="4">
        <v>45</v>
      </c>
      <c r="D27" s="4">
        <v>20</v>
      </c>
      <c r="E27" s="4">
        <v>8</v>
      </c>
      <c r="F27" s="4">
        <v>57</v>
      </c>
      <c r="G27" s="4">
        <v>120</v>
      </c>
      <c r="H27" s="4">
        <v>6840</v>
      </c>
    </row>
    <row r="28" spans="1:13" x14ac:dyDescent="0.3">
      <c r="A28" s="4" t="s">
        <v>58</v>
      </c>
      <c r="B28" s="4" t="s">
        <v>59</v>
      </c>
      <c r="C28" s="4">
        <v>60</v>
      </c>
      <c r="D28" s="4">
        <v>25</v>
      </c>
      <c r="E28" s="4">
        <v>12</v>
      </c>
      <c r="F28" s="4">
        <v>73</v>
      </c>
      <c r="G28" s="4">
        <v>60</v>
      </c>
      <c r="H28" s="4">
        <v>4380</v>
      </c>
    </row>
    <row r="29" spans="1:13" x14ac:dyDescent="0.3">
      <c r="A29" s="4" t="s">
        <v>60</v>
      </c>
      <c r="B29" s="4" t="s">
        <v>61</v>
      </c>
      <c r="C29" s="4">
        <v>35</v>
      </c>
      <c r="D29" s="4">
        <v>15</v>
      </c>
      <c r="E29" s="4">
        <v>6</v>
      </c>
      <c r="F29" s="4">
        <v>44</v>
      </c>
      <c r="G29" s="4">
        <v>100</v>
      </c>
      <c r="H29" s="4">
        <v>4400</v>
      </c>
    </row>
    <row r="30" spans="1:13" x14ac:dyDescent="0.3">
      <c r="A30" s="4" t="s">
        <v>62</v>
      </c>
      <c r="B30" s="4" t="s">
        <v>63</v>
      </c>
      <c r="C30" s="4">
        <v>40</v>
      </c>
      <c r="D30" s="4">
        <v>18</v>
      </c>
      <c r="E30" s="4">
        <v>9</v>
      </c>
      <c r="F30" s="4">
        <v>49</v>
      </c>
      <c r="G30" s="4">
        <v>80</v>
      </c>
      <c r="H30" s="4">
        <v>3920</v>
      </c>
    </row>
    <row r="31" spans="1:13" x14ac:dyDescent="0.3">
      <c r="A31" s="4" t="s">
        <v>64</v>
      </c>
      <c r="B31" s="4" t="s">
        <v>65</v>
      </c>
      <c r="C31" s="4">
        <v>30</v>
      </c>
      <c r="D31" s="4">
        <v>12</v>
      </c>
      <c r="E31" s="4">
        <v>4</v>
      </c>
      <c r="F31" s="4">
        <v>34</v>
      </c>
      <c r="G31" s="4">
        <v>50</v>
      </c>
      <c r="H31" s="4">
        <v>1700</v>
      </c>
    </row>
    <row r="32" spans="1:13" x14ac:dyDescent="0.3">
      <c r="A32" s="4" t="s">
        <v>66</v>
      </c>
      <c r="B32" s="4" t="s">
        <v>67</v>
      </c>
      <c r="C32" s="4">
        <v>25</v>
      </c>
      <c r="D32" s="4">
        <v>10</v>
      </c>
      <c r="E32" s="4">
        <v>3</v>
      </c>
      <c r="F32" s="4">
        <v>28</v>
      </c>
      <c r="G32" s="4">
        <v>30</v>
      </c>
      <c r="H32" s="4">
        <v>840</v>
      </c>
    </row>
    <row r="33" spans="1:8" x14ac:dyDescent="0.3">
      <c r="A33" s="4" t="s">
        <v>68</v>
      </c>
      <c r="B33" s="4" t="s">
        <v>69</v>
      </c>
      <c r="C33" s="4">
        <v>50</v>
      </c>
      <c r="D33" s="4">
        <v>20</v>
      </c>
      <c r="E33" s="4">
        <v>8</v>
      </c>
      <c r="F33" s="4">
        <v>58</v>
      </c>
      <c r="G33" s="4">
        <v>10</v>
      </c>
      <c r="H33" s="4">
        <v>580</v>
      </c>
    </row>
    <row r="34" spans="1:8" x14ac:dyDescent="0.3">
      <c r="A34" s="4" t="s">
        <v>70</v>
      </c>
      <c r="B34" s="4" t="s">
        <v>71</v>
      </c>
      <c r="C34" s="4">
        <v>40</v>
      </c>
      <c r="D34" s="4">
        <v>15</v>
      </c>
      <c r="E34" s="4">
        <v>5</v>
      </c>
      <c r="F34" s="4">
        <v>50</v>
      </c>
      <c r="G34" s="4">
        <v>5</v>
      </c>
      <c r="H34" s="4">
        <v>250</v>
      </c>
    </row>
    <row r="35" spans="1:8" x14ac:dyDescent="0.3">
      <c r="A35" s="4" t="s">
        <v>72</v>
      </c>
      <c r="B35" s="4" t="s">
        <v>73</v>
      </c>
      <c r="C35" s="4">
        <v>30</v>
      </c>
      <c r="D35" s="4">
        <v>12</v>
      </c>
      <c r="E35" s="4">
        <v>4</v>
      </c>
      <c r="F35" s="4">
        <v>34</v>
      </c>
      <c r="G35" s="4">
        <v>15</v>
      </c>
      <c r="H35" s="4">
        <v>510</v>
      </c>
    </row>
    <row r="36" spans="1:8" x14ac:dyDescent="0.3">
      <c r="A36" s="4" t="s">
        <v>74</v>
      </c>
      <c r="B36" s="4" t="s">
        <v>75</v>
      </c>
      <c r="C36" s="4">
        <v>20</v>
      </c>
      <c r="D36" s="4">
        <v>8</v>
      </c>
      <c r="E36" s="4">
        <v>3</v>
      </c>
      <c r="F36" s="4">
        <v>23</v>
      </c>
      <c r="G36" s="4">
        <v>20</v>
      </c>
      <c r="H36" s="4">
        <v>460</v>
      </c>
    </row>
    <row r="37" spans="1:8" x14ac:dyDescent="0.3">
      <c r="A37" s="4" t="s">
        <v>76</v>
      </c>
      <c r="B37" s="4" t="s">
        <v>77</v>
      </c>
      <c r="C37" s="4">
        <v>15</v>
      </c>
      <c r="D37" s="4">
        <v>6</v>
      </c>
      <c r="E37" s="4">
        <v>2</v>
      </c>
      <c r="F37" s="4">
        <v>17</v>
      </c>
      <c r="G37" s="4">
        <v>50</v>
      </c>
      <c r="H37" s="4">
        <v>850</v>
      </c>
    </row>
    <row r="38" spans="1:8" x14ac:dyDescent="0.3">
      <c r="A38" s="4" t="s">
        <v>78</v>
      </c>
      <c r="B38" s="4" t="s">
        <v>79</v>
      </c>
      <c r="C38" s="4">
        <v>25</v>
      </c>
      <c r="D38" s="4">
        <v>10</v>
      </c>
      <c r="E38" s="4">
        <v>4</v>
      </c>
      <c r="F38" s="4">
        <v>29</v>
      </c>
      <c r="G38" s="4">
        <v>5</v>
      </c>
      <c r="H38" s="4">
        <v>145</v>
      </c>
    </row>
    <row r="39" spans="1:8" x14ac:dyDescent="0.3">
      <c r="A39" s="4" t="s">
        <v>80</v>
      </c>
      <c r="B39" s="4" t="s">
        <v>81</v>
      </c>
      <c r="C39" s="4">
        <v>40</v>
      </c>
      <c r="D39" s="4">
        <v>18</v>
      </c>
      <c r="E39" s="4">
        <v>9</v>
      </c>
      <c r="F39" s="4">
        <v>49</v>
      </c>
      <c r="G39" s="4">
        <v>8</v>
      </c>
      <c r="H39" s="4">
        <v>392</v>
      </c>
    </row>
    <row r="40" spans="1:8" x14ac:dyDescent="0.3">
      <c r="A40" s="4" t="s">
        <v>82</v>
      </c>
      <c r="B40" s="4" t="s">
        <v>83</v>
      </c>
      <c r="C40" s="4">
        <v>30</v>
      </c>
      <c r="D40" s="4">
        <v>15</v>
      </c>
      <c r="E40" s="4">
        <v>6</v>
      </c>
      <c r="F40" s="4">
        <v>39</v>
      </c>
      <c r="G40" s="4">
        <v>20</v>
      </c>
      <c r="H40" s="4">
        <v>780</v>
      </c>
    </row>
    <row r="41" spans="1:8" x14ac:dyDescent="0.3">
      <c r="A41" s="4" t="s">
        <v>84</v>
      </c>
      <c r="B41" s="4" t="s">
        <v>85</v>
      </c>
      <c r="C41" s="4">
        <v>35</v>
      </c>
      <c r="D41" s="4">
        <v>12</v>
      </c>
      <c r="E41" s="4">
        <v>4</v>
      </c>
      <c r="F41" s="4">
        <v>31</v>
      </c>
      <c r="G41" s="4">
        <v>15</v>
      </c>
      <c r="H41" s="4">
        <v>465</v>
      </c>
    </row>
    <row r="42" spans="1:8" x14ac:dyDescent="0.3">
      <c r="A42" s="4" t="s">
        <v>86</v>
      </c>
      <c r="B42" s="4" t="s">
        <v>87</v>
      </c>
      <c r="C42" s="4">
        <v>25</v>
      </c>
      <c r="D42" s="4">
        <v>8</v>
      </c>
      <c r="E42" s="4">
        <v>3</v>
      </c>
      <c r="F42" s="4">
        <v>28</v>
      </c>
      <c r="G42" s="4">
        <v>10</v>
      </c>
      <c r="H42" s="4">
        <v>280</v>
      </c>
    </row>
    <row r="43" spans="1:8" x14ac:dyDescent="0.3">
      <c r="A43" s="4" t="s">
        <v>88</v>
      </c>
      <c r="B43" s="4" t="s">
        <v>89</v>
      </c>
      <c r="C43" s="4">
        <v>20</v>
      </c>
      <c r="D43" s="4">
        <v>10</v>
      </c>
      <c r="E43" s="4">
        <v>4</v>
      </c>
      <c r="F43" s="4">
        <v>24</v>
      </c>
      <c r="G43" s="4">
        <v>15</v>
      </c>
      <c r="H43" s="4">
        <v>360</v>
      </c>
    </row>
    <row r="44" spans="1:8" x14ac:dyDescent="0.3">
      <c r="A44" s="4" t="s">
        <v>90</v>
      </c>
      <c r="B44" s="4" t="s">
        <v>91</v>
      </c>
      <c r="C44" s="4">
        <v>30</v>
      </c>
      <c r="D44" s="4">
        <v>12</v>
      </c>
      <c r="E44" s="4">
        <v>5</v>
      </c>
      <c r="F44" s="4">
        <v>37</v>
      </c>
      <c r="G44" s="4">
        <v>20</v>
      </c>
      <c r="H44" s="4">
        <v>740</v>
      </c>
    </row>
    <row r="45" spans="1:8" x14ac:dyDescent="0.3">
      <c r="A45" s="4" t="s">
        <v>92</v>
      </c>
      <c r="B45" s="4" t="s">
        <v>93</v>
      </c>
      <c r="C45" s="4">
        <v>40</v>
      </c>
      <c r="D45" s="4">
        <v>18</v>
      </c>
      <c r="E45" s="4">
        <v>7</v>
      </c>
      <c r="F45" s="4">
        <v>51</v>
      </c>
      <c r="G45" s="4">
        <v>30</v>
      </c>
      <c r="H45" s="4">
        <v>1530</v>
      </c>
    </row>
    <row r="46" spans="1:8" x14ac:dyDescent="0.3">
      <c r="A46" s="4" t="s">
        <v>94</v>
      </c>
      <c r="B46" s="4" t="s">
        <v>95</v>
      </c>
      <c r="C46" s="4">
        <v>50</v>
      </c>
      <c r="D46" s="4">
        <v>20</v>
      </c>
      <c r="E46" s="4">
        <v>9</v>
      </c>
      <c r="F46" s="4">
        <v>61</v>
      </c>
      <c r="G46" s="4">
        <v>8</v>
      </c>
      <c r="H46" s="4">
        <v>488</v>
      </c>
    </row>
    <row r="47" spans="1:8" x14ac:dyDescent="0.3">
      <c r="A47" s="4" t="s">
        <v>96</v>
      </c>
      <c r="B47" s="4" t="s">
        <v>97</v>
      </c>
      <c r="C47" s="4">
        <v>25</v>
      </c>
      <c r="D47" s="4">
        <v>10</v>
      </c>
      <c r="E47" s="4">
        <v>3</v>
      </c>
      <c r="F47" s="4">
        <v>28</v>
      </c>
      <c r="G47" s="4">
        <v>150</v>
      </c>
      <c r="H47" s="4">
        <v>4200</v>
      </c>
    </row>
  </sheetData>
  <conditionalFormatting sqref="C1:C1048576">
    <cfRule type="top10" dxfId="0" priority="4" rank="10"/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" priority="2" operator="greaterThan">
      <formula>40</formula>
    </cfRule>
    <cfRule type="cellIs" dxfId="2" priority="1" operator="greaterThan">
      <formula>42.5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Risit Sahoo</cp:lastModifiedBy>
  <dcterms:created xsi:type="dcterms:W3CDTF">2024-02-19T11:46:38Z</dcterms:created>
  <dcterms:modified xsi:type="dcterms:W3CDTF">2025-11-05T07:54:47Z</dcterms:modified>
</cp:coreProperties>
</file>